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<sst xmlns="http://schemas.openxmlformats.org/spreadsheetml/2006/main" count="80" uniqueCount="65">
  <si>
    <t>AT32F403ARGT7_WorkBench</t>
  </si>
  <si>
    <t>lto-llvm-d97ef7.o</t>
  </si>
  <si>
    <t>startup_at32f403a_407.o</t>
  </si>
  <si>
    <t>mc_w.l</t>
  </si>
  <si>
    <t>strtok.o</t>
  </si>
  <si>
    <t>stdout.o</t>
  </si>
  <si>
    <t>errno.o</t>
  </si>
  <si>
    <t>printfa.o</t>
  </si>
  <si>
    <t>mf_w.l</t>
  </si>
  <si>
    <t>scanf_fp.o</t>
  </si>
  <si>
    <t>_scanf.o</t>
  </si>
  <si>
    <t>_scanf_longlong.o</t>
  </si>
  <si>
    <t>dadd.o</t>
  </si>
  <si>
    <t>_scanf_int.o</t>
  </si>
  <si>
    <t>dmul.o</t>
  </si>
  <si>
    <t>_scanf_str.o</t>
  </si>
  <si>
    <t>ddiv.o</t>
  </si>
  <si>
    <t>depilogue.o</t>
  </si>
  <si>
    <t>_strtoul.o</t>
  </si>
  <si>
    <t>ctype_o.o</t>
  </si>
  <si>
    <t>strtol.o</t>
  </si>
  <si>
    <t>fepilogue.o</t>
  </si>
  <si>
    <t>uldiv.o</t>
  </si>
  <si>
    <t>ldiv.o</t>
  </si>
  <si>
    <t>_sgetc.o</t>
  </si>
  <si>
    <t>d2f.o</t>
  </si>
  <si>
    <t>sscanf.o</t>
  </si>
  <si>
    <t>dfixul.o</t>
  </si>
  <si>
    <t>cdrcmple.o</t>
  </si>
  <si>
    <t>init.o</t>
  </si>
  <si>
    <t>uidiv.o</t>
  </si>
  <si>
    <t>scanf_char.o</t>
  </si>
  <si>
    <t>cpp_init.o</t>
  </si>
  <si>
    <t>strstr.o</t>
  </si>
  <si>
    <t>memseta.o</t>
  </si>
  <si>
    <t>memcpya.o</t>
  </si>
  <si>
    <t>llsshr.o</t>
  </si>
  <si>
    <t>llushr.o</t>
  </si>
  <si>
    <t>systick_wrapper_gnu.o</t>
  </si>
  <si>
    <t>strncmp.o</t>
  </si>
  <si>
    <t>llshl.o</t>
  </si>
  <si>
    <t>handlers.o</t>
  </si>
  <si>
    <t>strcmp.o</t>
  </si>
  <si>
    <t>_chval.o</t>
  </si>
  <si>
    <t>memcmp.o</t>
  </si>
  <si>
    <t>atoi.o</t>
  </si>
  <si>
    <t>dfltul.o</t>
  </si>
  <si>
    <t>strncpy.o</t>
  </si>
  <si>
    <t>strchr.o</t>
  </si>
  <si>
    <t>isspace_o.o</t>
  </si>
  <si>
    <t>strlen.o</t>
  </si>
  <si>
    <t>entry9a.o</t>
  </si>
  <si>
    <t>entry2.o</t>
  </si>
  <si>
    <t>entry8a.o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</si>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</sst>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ram_percent!$A$3:$A$57</c:f>
              <c:strCache>
                <c:ptCount val="55"/>
                <c:pt idx="0">
                  <c:v>lto-llvm-d97ef7.o</c:v>
                </c:pt>
                <c:pt idx="1">
                  <c:v>startup_at32f403a_407.o</c:v>
                </c:pt>
                <c:pt idx="2">
                  <c:v>mc_w.l</c:v>
                </c:pt>
                <c:pt idx="3">
                  <c:v>strtok.o</c:v>
                </c:pt>
                <c:pt idx="4">
                  <c:v>stdout.o</c:v>
                </c:pt>
                <c:pt idx="5">
                  <c:v>errno.o</c:v>
                </c:pt>
                <c:pt idx="54">
                  <c:v>Totals</c:v>
                </c:pt>
              </c:strCache>
            </c:strRef>
          </c:cat>
          <c:val>
            <c:numRef>
              <c:f>ram_percent!$B$3:$B$57</c:f>
              <c:numCache>
                <c:formatCode>General</c:formatCode>
                <c:ptCount val="55"/>
                <c:pt idx="0">
                  <c:v>97.96974182128906</c:v>
                </c:pt>
                <c:pt idx="1">
                  <c:v>1.983765721321106</c:v>
                </c:pt>
                <c:pt idx="2">
                  <c:v>0.02324725314974785</c:v>
                </c:pt>
                <c:pt idx="3">
                  <c:v>0.00774908484891057</c:v>
                </c:pt>
                <c:pt idx="4">
                  <c:v>0.00774908484891057</c:v>
                </c:pt>
                <c:pt idx="5">
                  <c:v>0.00774908484891057</c:v>
                </c:pt>
                <c:pt idx="5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flash_percent!$A$3:$A$57</c:f>
              <c:strCache>
                <c:ptCount val="55"/>
                <c:pt idx="0">
                  <c:v>lto-llvm-d97ef7.o</c:v>
                </c:pt>
                <c:pt idx="1">
                  <c:v>mc_w.l</c:v>
                </c:pt>
                <c:pt idx="2">
                  <c:v>printfa.o</c:v>
                </c:pt>
                <c:pt idx="3">
                  <c:v>mf_w.l</c:v>
                </c:pt>
                <c:pt idx="4">
                  <c:v>scanf_fp.o</c:v>
                </c:pt>
                <c:pt idx="5">
                  <c:v>_scanf.o</c:v>
                </c:pt>
                <c:pt idx="6">
                  <c:v>startup_at32f403a_407.o</c:v>
                </c:pt>
                <c:pt idx="7">
                  <c:v>_scanf_longlong.o</c:v>
                </c:pt>
                <c:pt idx="8">
                  <c:v>dadd.o</c:v>
                </c:pt>
                <c:pt idx="9">
                  <c:v>_scanf_int.o</c:v>
                </c:pt>
                <c:pt idx="10">
                  <c:v>dmul.o</c:v>
                </c:pt>
                <c:pt idx="11">
                  <c:v>_scanf_str.o</c:v>
                </c:pt>
                <c:pt idx="12">
                  <c:v>ddiv.o</c:v>
                </c:pt>
                <c:pt idx="13">
                  <c:v>depilogue.o</c:v>
                </c:pt>
                <c:pt idx="14">
                  <c:v>_strtoul.o</c:v>
                </c:pt>
                <c:pt idx="15">
                  <c:v>ctype_o.o</c:v>
                </c:pt>
                <c:pt idx="16">
                  <c:v>strtol.o</c:v>
                </c:pt>
                <c:pt idx="17">
                  <c:v>fepilogue.o</c:v>
                </c:pt>
                <c:pt idx="18">
                  <c:v>uldiv.o</c:v>
                </c:pt>
                <c:pt idx="19">
                  <c:v>ldiv.o</c:v>
                </c:pt>
                <c:pt idx="20">
                  <c:v>strtok.o</c:v>
                </c:pt>
                <c:pt idx="21">
                  <c:v>_sgetc.o</c:v>
                </c:pt>
                <c:pt idx="22">
                  <c:v>d2f.o</c:v>
                </c:pt>
                <c:pt idx="23">
                  <c:v>sscanf.o</c:v>
                </c:pt>
                <c:pt idx="24">
                  <c:v>dfixul.o</c:v>
                </c:pt>
                <c:pt idx="25">
                  <c:v>cdrcmple.o</c:v>
                </c:pt>
                <c:pt idx="26">
                  <c:v>init.o</c:v>
                </c:pt>
                <c:pt idx="27">
                  <c:v>uidiv.o</c:v>
                </c:pt>
                <c:pt idx="28">
                  <c:v>scanf_char.o</c:v>
                </c:pt>
                <c:pt idx="29">
                  <c:v>cpp_init.o</c:v>
                </c:pt>
                <c:pt idx="30">
                  <c:v>strstr.o</c:v>
                </c:pt>
                <c:pt idx="31">
                  <c:v>memseta.o</c:v>
                </c:pt>
                <c:pt idx="32">
                  <c:v>memcpya.o</c:v>
                </c:pt>
                <c:pt idx="33">
                  <c:v>llsshr.o</c:v>
                </c:pt>
                <c:pt idx="34">
                  <c:v>llushr.o</c:v>
                </c:pt>
                <c:pt idx="35">
                  <c:v>systick_wrapper_gnu.o</c:v>
                </c:pt>
                <c:pt idx="36">
                  <c:v>strncmp.o</c:v>
                </c:pt>
                <c:pt idx="37">
                  <c:v>llshl.o</c:v>
                </c:pt>
                <c:pt idx="38">
                  <c:v>handlers.o</c:v>
                </c:pt>
                <c:pt idx="39">
                  <c:v>strcmp.o</c:v>
                </c:pt>
                <c:pt idx="40">
                  <c:v>_chval.o</c:v>
                </c:pt>
                <c:pt idx="41">
                  <c:v>memcmp.o</c:v>
                </c:pt>
                <c:pt idx="42">
                  <c:v>atoi.o</c:v>
                </c:pt>
                <c:pt idx="43">
                  <c:v>dfltul.o</c:v>
                </c:pt>
                <c:pt idx="44">
                  <c:v>strncpy.o</c:v>
                </c:pt>
                <c:pt idx="45">
                  <c:v>strchr.o</c:v>
                </c:pt>
                <c:pt idx="46">
                  <c:v>isspace_o.o</c:v>
                </c:pt>
                <c:pt idx="47">
                  <c:v>strlen.o</c:v>
                </c:pt>
                <c:pt idx="48">
                  <c:v>errno.o</c:v>
                </c:pt>
                <c:pt idx="49">
                  <c:v>entry9a.o</c:v>
                </c:pt>
                <c:pt idx="50">
                  <c:v>entry2.o</c:v>
                </c:pt>
                <c:pt idx="51">
                  <c:v>stdout.o</c:v>
                </c:pt>
                <c:pt idx="52">
                  <c:v>entry8a.o</c:v>
                </c:pt>
                <c:pt idx="53">
                  <c:v>entry5.o</c:v>
                </c:pt>
                <c:pt idx="54">
                  <c:v>Totals</c:v>
                </c:pt>
              </c:strCache>
            </c:strRef>
          </c:cat>
          <c:val>
            <c:numRef>
              <c:f>flash_percent!$B$3:$B$57</c:f>
              <c:numCache>
                <c:formatCode>General</c:formatCode>
                <c:ptCount val="55"/>
                <c:pt idx="0">
                  <c:v>74.96259307861328</c:v>
                </c:pt>
                <c:pt idx="1">
                  <c:v>10.15662288665772</c:v>
                </c:pt>
                <c:pt idx="2">
                  <c:v>3.711838960647583</c:v>
                </c:pt>
                <c:pt idx="3">
                  <c:v>1.999172329902649</c:v>
                </c:pt>
                <c:pt idx="4">
                  <c:v>1.397510528564453</c:v>
                </c:pt>
                <c:pt idx="5">
                  <c:v>1.292458534240723</c:v>
                </c:pt>
                <c:pt idx="6">
                  <c:v>0.6748798489570618</c:v>
                </c:pt>
                <c:pt idx="7">
                  <c:v>0.5443606376647949</c:v>
                </c:pt>
                <c:pt idx="8">
                  <c:v>0.5316270589828491</c:v>
                </c:pt>
                <c:pt idx="9">
                  <c:v>0.5284436345100403</c:v>
                </c:pt>
                <c:pt idx="10">
                  <c:v>0.3629070818424225</c:v>
                </c:pt>
                <c:pt idx="11">
                  <c:v>0.3565402925014496</c:v>
                </c:pt>
                <c:pt idx="12">
                  <c:v>0.3533568978309631</c:v>
                </c:pt>
                <c:pt idx="13">
                  <c:v>0.2960557639598846</c:v>
                </c:pt>
                <c:pt idx="14">
                  <c:v>0.2514882385730743</c:v>
                </c:pt>
                <c:pt idx="15">
                  <c:v>0.2244293689727783</c:v>
                </c:pt>
                <c:pt idx="16">
                  <c:v>0.1782701462507248</c:v>
                </c:pt>
                <c:pt idx="17">
                  <c:v>0.1750867515802383</c:v>
                </c:pt>
                <c:pt idx="18">
                  <c:v>0.1559863686561585</c:v>
                </c:pt>
                <c:pt idx="19">
                  <c:v>0.1559863686561585</c:v>
                </c:pt>
                <c:pt idx="20">
                  <c:v>0.1146022379398346</c:v>
                </c:pt>
                <c:pt idx="21">
                  <c:v>0.1018686518073082</c:v>
                </c:pt>
                <c:pt idx="22">
                  <c:v>0.0891350731253624</c:v>
                </c:pt>
                <c:pt idx="23">
                  <c:v>0.0891350731253624</c:v>
                </c:pt>
                <c:pt idx="24">
                  <c:v>0.076401486992836</c:v>
                </c:pt>
                <c:pt idx="25">
                  <c:v>0.076401486992836</c:v>
                </c:pt>
                <c:pt idx="26">
                  <c:v>0.076401486992836</c:v>
                </c:pt>
                <c:pt idx="27">
                  <c:v>0.0700346976518631</c:v>
                </c:pt>
                <c:pt idx="28">
                  <c:v>0.0636679083108902</c:v>
                </c:pt>
                <c:pt idx="29">
                  <c:v>0.0636679083108902</c:v>
                </c:pt>
                <c:pt idx="30">
                  <c:v>0.0573011189699173</c:v>
                </c:pt>
                <c:pt idx="31">
                  <c:v>0.0573011189699173</c:v>
                </c:pt>
                <c:pt idx="32">
                  <c:v>0.0573011189699173</c:v>
                </c:pt>
                <c:pt idx="33">
                  <c:v>0.0573011189699173</c:v>
                </c:pt>
                <c:pt idx="34">
                  <c:v>0.0509343259036541</c:v>
                </c:pt>
                <c:pt idx="35">
                  <c:v>0.0509343259036541</c:v>
                </c:pt>
                <c:pt idx="36">
                  <c:v>0.04775093123316765</c:v>
                </c:pt>
                <c:pt idx="37">
                  <c:v>0.04775093123316765</c:v>
                </c:pt>
                <c:pt idx="38">
                  <c:v>0.04775093123316765</c:v>
                </c:pt>
                <c:pt idx="39">
                  <c:v>0.0445675365626812</c:v>
                </c:pt>
                <c:pt idx="40">
                  <c:v>0.0445675365626812</c:v>
                </c:pt>
                <c:pt idx="41">
                  <c:v>0.04138414189219475</c:v>
                </c:pt>
                <c:pt idx="42">
                  <c:v>0.04138414189219475</c:v>
                </c:pt>
                <c:pt idx="43">
                  <c:v>0.038200743496418</c:v>
                </c:pt>
                <c:pt idx="44">
                  <c:v>0.038200743496418</c:v>
                </c:pt>
                <c:pt idx="45">
                  <c:v>0.0318339541554451</c:v>
                </c:pt>
                <c:pt idx="46">
                  <c:v>0.02865055948495865</c:v>
                </c:pt>
                <c:pt idx="47">
                  <c:v>0.0222837682813406</c:v>
                </c:pt>
                <c:pt idx="48">
                  <c:v>0.019100371748209</c:v>
                </c:pt>
                <c:pt idx="49">
                  <c:v>0.01273358147591353</c:v>
                </c:pt>
                <c:pt idx="50">
                  <c:v>0.01273358147591353</c:v>
                </c:pt>
                <c:pt idx="51">
                  <c:v>0.006366790737956762</c:v>
                </c:pt>
                <c:pt idx="52">
                  <c:v>0.006366790737956762</c:v>
                </c:pt>
                <c:pt idx="53">
                  <c:v>0.006366790737956762</c:v>
                </c:pt>
                <c:pt idx="5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57" totalsRowCount="1">
  <autoFilter ref="A2:H56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57" totalsRowCount="1">
  <autoFilter ref="A2:H56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55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</row>
    <row r="3" spans="1:8">
      <c r="A3" s="1" t="s">
        <v>1</v>
      </c>
      <c r="B3" s="2">
        <v>97.96974182128906</v>
      </c>
      <c r="C3" s="1">
        <v>50571</v>
      </c>
      <c r="D3" s="1">
        <v>47096</v>
      </c>
      <c r="E3" s="1">
        <v>43200</v>
      </c>
      <c r="F3" s="1">
        <v>3697</v>
      </c>
      <c r="G3" s="1">
        <v>199</v>
      </c>
      <c r="H3" s="1">
        <v>50372</v>
      </c>
    </row>
    <row r="4" spans="1:8">
      <c r="A4" s="1" t="s">
        <v>2</v>
      </c>
      <c r="B4" s="2">
        <v>1.983765721321106</v>
      </c>
      <c r="C4" s="1">
        <v>1024</v>
      </c>
      <c r="D4" s="1">
        <v>424</v>
      </c>
      <c r="E4" s="1">
        <v>36</v>
      </c>
      <c r="F4" s="1">
        <v>388</v>
      </c>
      <c r="G4" s="1">
        <v>0</v>
      </c>
      <c r="H4" s="1">
        <v>1024</v>
      </c>
    </row>
    <row r="5" spans="1:8">
      <c r="A5" s="1" t="s">
        <v>3</v>
      </c>
      <c r="B5" s="2">
        <v>0.02324725314974785</v>
      </c>
      <c r="C5" s="1">
        <v>12</v>
      </c>
      <c r="D5" s="1">
        <v>6381</v>
      </c>
      <c r="E5" s="1">
        <v>6236</v>
      </c>
      <c r="F5" s="1">
        <v>133</v>
      </c>
      <c r="G5" s="1">
        <v>12</v>
      </c>
      <c r="H5" s="1">
        <v>0</v>
      </c>
    </row>
    <row r="6" spans="1:8">
      <c r="A6" s="1" t="s">
        <v>4</v>
      </c>
      <c r="B6" s="2">
        <v>0.00774908484891057</v>
      </c>
      <c r="C6" s="1">
        <v>4</v>
      </c>
      <c r="D6" s="1">
        <v>72</v>
      </c>
      <c r="E6" s="1">
        <v>68</v>
      </c>
      <c r="F6" s="1">
        <v>0</v>
      </c>
      <c r="G6" s="1">
        <v>4</v>
      </c>
      <c r="H6" s="1">
        <v>0</v>
      </c>
    </row>
    <row r="7" spans="1:8">
      <c r="A7" s="1" t="s">
        <v>5</v>
      </c>
      <c r="B7" s="2">
        <v>0.00774908484891057</v>
      </c>
      <c r="C7" s="1">
        <v>4</v>
      </c>
      <c r="D7" s="1">
        <v>4</v>
      </c>
      <c r="E7" s="1">
        <v>0</v>
      </c>
      <c r="F7" s="1">
        <v>0</v>
      </c>
      <c r="G7" s="1">
        <v>4</v>
      </c>
      <c r="H7" s="1">
        <v>0</v>
      </c>
    </row>
    <row r="8" spans="1:8">
      <c r="A8" s="1" t="s">
        <v>6</v>
      </c>
      <c r="B8" s="2">
        <v>0.00774908484891057</v>
      </c>
      <c r="C8" s="1">
        <v>4</v>
      </c>
      <c r="D8" s="1">
        <v>12</v>
      </c>
      <c r="E8" s="1">
        <v>8</v>
      </c>
      <c r="F8" s="1">
        <v>0</v>
      </c>
      <c r="G8" s="1">
        <v>4</v>
      </c>
      <c r="H8" s="1">
        <v>0</v>
      </c>
    </row>
    <row r="57" spans="1:8">
      <c r="A57" t="s">
        <v>56</v>
      </c>
      <c r="B57">
        <f>SUBTOTAL(109,[ram_percent])</f>
        <v>0</v>
      </c>
      <c r="C57">
        <f>SUBTOTAL(109,[ram])</f>
        <v>0</v>
      </c>
      <c r="D57">
        <f>SUBTOTAL(109,[flash])</f>
        <v>0</v>
      </c>
      <c r="E57">
        <f>SUBTOTAL(109,[Code])</f>
        <v>0</v>
      </c>
      <c r="F57">
        <f>SUBTOTAL(109,[RO_data])</f>
        <v>0</v>
      </c>
      <c r="G57">
        <f>SUBTOTAL(109,[RW_data])</f>
        <v>0</v>
      </c>
      <c r="H5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55</v>
      </c>
      <c r="B2" t="s">
        <v>64</v>
      </c>
      <c r="C2" t="s">
        <v>59</v>
      </c>
      <c r="D2" t="s">
        <v>58</v>
      </c>
      <c r="E2" t="s">
        <v>60</v>
      </c>
      <c r="F2" t="s">
        <v>61</v>
      </c>
      <c r="G2" t="s">
        <v>62</v>
      </c>
      <c r="H2" t="s">
        <v>63</v>
      </c>
    </row>
    <row r="3" spans="1:8">
      <c r="A3" s="1" t="s">
        <v>1</v>
      </c>
      <c r="B3" s="2">
        <v>74.96259307861328</v>
      </c>
      <c r="C3" s="1">
        <v>47096</v>
      </c>
      <c r="D3" s="1">
        <v>50571</v>
      </c>
      <c r="E3" s="1">
        <v>43200</v>
      </c>
      <c r="F3" s="1">
        <v>3697</v>
      </c>
      <c r="G3" s="1">
        <v>199</v>
      </c>
      <c r="H3" s="1">
        <v>50372</v>
      </c>
    </row>
    <row r="4" spans="1:8">
      <c r="A4" s="1" t="s">
        <v>3</v>
      </c>
      <c r="B4" s="2">
        <v>10.15662288665772</v>
      </c>
      <c r="C4" s="1">
        <v>6381</v>
      </c>
      <c r="D4" s="1">
        <v>12</v>
      </c>
      <c r="E4" s="1">
        <v>6236</v>
      </c>
      <c r="F4" s="1">
        <v>133</v>
      </c>
      <c r="G4" s="1">
        <v>12</v>
      </c>
      <c r="H4" s="1">
        <v>0</v>
      </c>
    </row>
    <row r="5" spans="1:8">
      <c r="A5" s="1" t="s">
        <v>7</v>
      </c>
      <c r="B5" s="2">
        <v>3.711838960647583</v>
      </c>
      <c r="C5" s="1">
        <v>2332</v>
      </c>
      <c r="D5" s="1">
        <v>0</v>
      </c>
      <c r="E5" s="1">
        <v>2332</v>
      </c>
      <c r="F5" s="1">
        <v>0</v>
      </c>
      <c r="G5" s="1">
        <v>0</v>
      </c>
      <c r="H5" s="1">
        <v>0</v>
      </c>
    </row>
    <row r="6" spans="1:8">
      <c r="A6" s="1" t="s">
        <v>8</v>
      </c>
      <c r="B6" s="2">
        <v>1.999172329902649</v>
      </c>
      <c r="C6" s="1">
        <v>1256</v>
      </c>
      <c r="D6" s="1">
        <v>0</v>
      </c>
      <c r="E6" s="1">
        <v>1256</v>
      </c>
      <c r="F6" s="1">
        <v>0</v>
      </c>
      <c r="G6" s="1">
        <v>0</v>
      </c>
      <c r="H6" s="1">
        <v>0</v>
      </c>
    </row>
    <row r="7" spans="1:8">
      <c r="A7" s="1" t="s">
        <v>9</v>
      </c>
      <c r="B7" s="2">
        <v>1.397510528564453</v>
      </c>
      <c r="C7" s="1">
        <v>878</v>
      </c>
      <c r="D7" s="1">
        <v>0</v>
      </c>
      <c r="E7" s="1">
        <v>878</v>
      </c>
      <c r="F7" s="1">
        <v>0</v>
      </c>
      <c r="G7" s="1">
        <v>0</v>
      </c>
      <c r="H7" s="1">
        <v>0</v>
      </c>
    </row>
    <row r="8" spans="1:8">
      <c r="A8" s="1" t="s">
        <v>10</v>
      </c>
      <c r="B8" s="2">
        <v>1.292458534240723</v>
      </c>
      <c r="C8" s="1">
        <v>812</v>
      </c>
      <c r="D8" s="1">
        <v>0</v>
      </c>
      <c r="E8" s="1">
        <v>812</v>
      </c>
      <c r="F8" s="1">
        <v>0</v>
      </c>
      <c r="G8" s="1">
        <v>0</v>
      </c>
      <c r="H8" s="1">
        <v>0</v>
      </c>
    </row>
    <row r="9" spans="1:8">
      <c r="A9" s="1" t="s">
        <v>2</v>
      </c>
      <c r="B9" s="2">
        <v>0.6748798489570618</v>
      </c>
      <c r="C9" s="1">
        <v>424</v>
      </c>
      <c r="D9" s="1">
        <v>1024</v>
      </c>
      <c r="E9" s="1">
        <v>36</v>
      </c>
      <c r="F9" s="1">
        <v>388</v>
      </c>
      <c r="G9" s="1">
        <v>0</v>
      </c>
      <c r="H9" s="1">
        <v>1024</v>
      </c>
    </row>
    <row r="10" spans="1:8">
      <c r="A10" s="1" t="s">
        <v>11</v>
      </c>
      <c r="B10" s="2">
        <v>0.5443606376647949</v>
      </c>
      <c r="C10" s="1">
        <v>342</v>
      </c>
      <c r="D10" s="1">
        <v>0</v>
      </c>
      <c r="E10" s="1">
        <v>342</v>
      </c>
      <c r="F10" s="1">
        <v>0</v>
      </c>
      <c r="G10" s="1">
        <v>0</v>
      </c>
      <c r="H10" s="1">
        <v>0</v>
      </c>
    </row>
    <row r="11" spans="1:8">
      <c r="A11" s="1" t="s">
        <v>12</v>
      </c>
      <c r="B11" s="2">
        <v>0.5316270589828491</v>
      </c>
      <c r="C11" s="1">
        <v>334</v>
      </c>
      <c r="D11" s="1">
        <v>0</v>
      </c>
      <c r="E11" s="1">
        <v>334</v>
      </c>
      <c r="F11" s="1">
        <v>0</v>
      </c>
      <c r="G11" s="1">
        <v>0</v>
      </c>
      <c r="H11" s="1">
        <v>0</v>
      </c>
    </row>
    <row r="12" spans="1:8">
      <c r="A12" s="1" t="s">
        <v>13</v>
      </c>
      <c r="B12" s="2">
        <v>0.5284436345100403</v>
      </c>
      <c r="C12" s="1">
        <v>332</v>
      </c>
      <c r="D12" s="1">
        <v>0</v>
      </c>
      <c r="E12" s="1">
        <v>332</v>
      </c>
      <c r="F12" s="1">
        <v>0</v>
      </c>
      <c r="G12" s="1">
        <v>0</v>
      </c>
      <c r="H12" s="1">
        <v>0</v>
      </c>
    </row>
    <row r="13" spans="1:8">
      <c r="A13" s="1" t="s">
        <v>14</v>
      </c>
      <c r="B13" s="2">
        <v>0.3629070818424225</v>
      </c>
      <c r="C13" s="1">
        <v>228</v>
      </c>
      <c r="D13" s="1">
        <v>0</v>
      </c>
      <c r="E13" s="1">
        <v>228</v>
      </c>
      <c r="F13" s="1">
        <v>0</v>
      </c>
      <c r="G13" s="1">
        <v>0</v>
      </c>
      <c r="H13" s="1">
        <v>0</v>
      </c>
    </row>
    <row r="14" spans="1:8">
      <c r="A14" s="1" t="s">
        <v>15</v>
      </c>
      <c r="B14" s="2">
        <v>0.3565402925014496</v>
      </c>
      <c r="C14" s="1">
        <v>224</v>
      </c>
      <c r="D14" s="1">
        <v>0</v>
      </c>
      <c r="E14" s="1">
        <v>224</v>
      </c>
      <c r="F14" s="1">
        <v>0</v>
      </c>
      <c r="G14" s="1">
        <v>0</v>
      </c>
      <c r="H14" s="1">
        <v>0</v>
      </c>
    </row>
    <row r="15" spans="1:8">
      <c r="A15" s="1" t="s">
        <v>16</v>
      </c>
      <c r="B15" s="2">
        <v>0.3533568978309631</v>
      </c>
      <c r="C15" s="1">
        <v>222</v>
      </c>
      <c r="D15" s="1">
        <v>0</v>
      </c>
      <c r="E15" s="1">
        <v>222</v>
      </c>
      <c r="F15" s="1">
        <v>0</v>
      </c>
      <c r="G15" s="1">
        <v>0</v>
      </c>
      <c r="H15" s="1">
        <v>0</v>
      </c>
    </row>
    <row r="16" spans="1:8">
      <c r="A16" s="1" t="s">
        <v>17</v>
      </c>
      <c r="B16" s="2">
        <v>0.2960557639598846</v>
      </c>
      <c r="C16" s="1">
        <v>186</v>
      </c>
      <c r="D16" s="1">
        <v>0</v>
      </c>
      <c r="E16" s="1">
        <v>186</v>
      </c>
      <c r="F16" s="1">
        <v>0</v>
      </c>
      <c r="G16" s="1">
        <v>0</v>
      </c>
      <c r="H16" s="1">
        <v>0</v>
      </c>
    </row>
    <row r="17" spans="1:8">
      <c r="A17" s="1" t="s">
        <v>18</v>
      </c>
      <c r="B17" s="2">
        <v>0.2514882385730743</v>
      </c>
      <c r="C17" s="1">
        <v>158</v>
      </c>
      <c r="D17" s="1">
        <v>0</v>
      </c>
      <c r="E17" s="1">
        <v>158</v>
      </c>
      <c r="F17" s="1">
        <v>0</v>
      </c>
      <c r="G17" s="1">
        <v>0</v>
      </c>
      <c r="H17" s="1">
        <v>0</v>
      </c>
    </row>
    <row r="18" spans="1:8">
      <c r="A18" s="1" t="s">
        <v>19</v>
      </c>
      <c r="B18" s="2">
        <v>0.2244293689727783</v>
      </c>
      <c r="C18" s="1">
        <v>141</v>
      </c>
      <c r="D18" s="1">
        <v>0</v>
      </c>
      <c r="E18" s="1">
        <v>8</v>
      </c>
      <c r="F18" s="1">
        <v>133</v>
      </c>
      <c r="G18" s="1">
        <v>0</v>
      </c>
      <c r="H18" s="1">
        <v>0</v>
      </c>
    </row>
    <row r="19" spans="1:8">
      <c r="A19" s="1" t="s">
        <v>20</v>
      </c>
      <c r="B19" s="2">
        <v>0.1782701462507248</v>
      </c>
      <c r="C19" s="1">
        <v>112</v>
      </c>
      <c r="D19" s="1">
        <v>0</v>
      </c>
      <c r="E19" s="1">
        <v>112</v>
      </c>
      <c r="F19" s="1">
        <v>0</v>
      </c>
      <c r="G19" s="1">
        <v>0</v>
      </c>
      <c r="H19" s="1">
        <v>0</v>
      </c>
    </row>
    <row r="20" spans="1:8">
      <c r="A20" s="1" t="s">
        <v>21</v>
      </c>
      <c r="B20" s="2">
        <v>0.1750867515802383</v>
      </c>
      <c r="C20" s="1">
        <v>110</v>
      </c>
      <c r="D20" s="1">
        <v>0</v>
      </c>
      <c r="E20" s="1">
        <v>110</v>
      </c>
      <c r="F20" s="1">
        <v>0</v>
      </c>
      <c r="G20" s="1">
        <v>0</v>
      </c>
      <c r="H20" s="1">
        <v>0</v>
      </c>
    </row>
    <row r="21" spans="1:8">
      <c r="A21" s="1" t="s">
        <v>22</v>
      </c>
      <c r="B21" s="2">
        <v>0.1559863686561585</v>
      </c>
      <c r="C21" s="1">
        <v>98</v>
      </c>
      <c r="D21" s="1">
        <v>0</v>
      </c>
      <c r="E21" s="1">
        <v>98</v>
      </c>
      <c r="F21" s="1">
        <v>0</v>
      </c>
      <c r="G21" s="1">
        <v>0</v>
      </c>
      <c r="H21" s="1">
        <v>0</v>
      </c>
    </row>
    <row r="22" spans="1:8">
      <c r="A22" s="1" t="s">
        <v>23</v>
      </c>
      <c r="B22" s="2">
        <v>0.1559863686561585</v>
      </c>
      <c r="C22" s="1">
        <v>98</v>
      </c>
      <c r="D22" s="1">
        <v>0</v>
      </c>
      <c r="E22" s="1">
        <v>98</v>
      </c>
      <c r="F22" s="1">
        <v>0</v>
      </c>
      <c r="G22" s="1">
        <v>0</v>
      </c>
      <c r="H22" s="1">
        <v>0</v>
      </c>
    </row>
    <row r="23" spans="1:8">
      <c r="A23" s="1" t="s">
        <v>4</v>
      </c>
      <c r="B23" s="2">
        <v>0.1146022379398346</v>
      </c>
      <c r="C23" s="1">
        <v>72</v>
      </c>
      <c r="D23" s="1">
        <v>4</v>
      </c>
      <c r="E23" s="1">
        <v>68</v>
      </c>
      <c r="F23" s="1">
        <v>0</v>
      </c>
      <c r="G23" s="1">
        <v>4</v>
      </c>
      <c r="H23" s="1">
        <v>0</v>
      </c>
    </row>
    <row r="24" spans="1:8">
      <c r="A24" s="1" t="s">
        <v>24</v>
      </c>
      <c r="B24" s="2">
        <v>0.1018686518073082</v>
      </c>
      <c r="C24" s="1">
        <v>64</v>
      </c>
      <c r="D24" s="1">
        <v>0</v>
      </c>
      <c r="E24" s="1">
        <v>64</v>
      </c>
      <c r="F24" s="1">
        <v>0</v>
      </c>
      <c r="G24" s="1">
        <v>0</v>
      </c>
      <c r="H24" s="1">
        <v>0</v>
      </c>
    </row>
    <row r="25" spans="1:8">
      <c r="A25" s="1" t="s">
        <v>25</v>
      </c>
      <c r="B25" s="2">
        <v>0.0891350731253624</v>
      </c>
      <c r="C25" s="1">
        <v>56</v>
      </c>
      <c r="D25" s="1">
        <v>0</v>
      </c>
      <c r="E25" s="1">
        <v>56</v>
      </c>
      <c r="F25" s="1">
        <v>0</v>
      </c>
      <c r="G25" s="1">
        <v>0</v>
      </c>
      <c r="H25" s="1">
        <v>0</v>
      </c>
    </row>
    <row r="26" spans="1:8">
      <c r="A26" s="1" t="s">
        <v>26</v>
      </c>
      <c r="B26" s="2">
        <v>0.0891350731253624</v>
      </c>
      <c r="C26" s="1">
        <v>56</v>
      </c>
      <c r="D26" s="1">
        <v>0</v>
      </c>
      <c r="E26" s="1">
        <v>56</v>
      </c>
      <c r="F26" s="1">
        <v>0</v>
      </c>
      <c r="G26" s="1">
        <v>0</v>
      </c>
      <c r="H26" s="1">
        <v>0</v>
      </c>
    </row>
    <row r="27" spans="1:8">
      <c r="A27" s="1" t="s">
        <v>27</v>
      </c>
      <c r="B27" s="2">
        <v>0.076401486992836</v>
      </c>
      <c r="C27" s="1">
        <v>48</v>
      </c>
      <c r="D27" s="1">
        <v>0</v>
      </c>
      <c r="E27" s="1">
        <v>48</v>
      </c>
      <c r="F27" s="1">
        <v>0</v>
      </c>
      <c r="G27" s="1">
        <v>0</v>
      </c>
      <c r="H27" s="1">
        <v>0</v>
      </c>
    </row>
    <row r="28" spans="1:8">
      <c r="A28" s="1" t="s">
        <v>28</v>
      </c>
      <c r="B28" s="2">
        <v>0.076401486992836</v>
      </c>
      <c r="C28" s="1">
        <v>48</v>
      </c>
      <c r="D28" s="1">
        <v>0</v>
      </c>
      <c r="E28" s="1">
        <v>48</v>
      </c>
      <c r="F28" s="1">
        <v>0</v>
      </c>
      <c r="G28" s="1">
        <v>0</v>
      </c>
      <c r="H28" s="1">
        <v>0</v>
      </c>
    </row>
    <row r="29" spans="1:8">
      <c r="A29" s="1" t="s">
        <v>29</v>
      </c>
      <c r="B29" s="2">
        <v>0.076401486992836</v>
      </c>
      <c r="C29" s="1">
        <v>48</v>
      </c>
      <c r="D29" s="1">
        <v>0</v>
      </c>
      <c r="E29" s="1">
        <v>48</v>
      </c>
      <c r="F29" s="1">
        <v>0</v>
      </c>
      <c r="G29" s="1">
        <v>0</v>
      </c>
      <c r="H29" s="1">
        <v>0</v>
      </c>
    </row>
    <row r="30" spans="1:8">
      <c r="A30" s="1" t="s">
        <v>30</v>
      </c>
      <c r="B30" s="2">
        <v>0.0700346976518631</v>
      </c>
      <c r="C30" s="1">
        <v>44</v>
      </c>
      <c r="D30" s="1">
        <v>0</v>
      </c>
      <c r="E30" s="1">
        <v>44</v>
      </c>
      <c r="F30" s="1">
        <v>0</v>
      </c>
      <c r="G30" s="1">
        <v>0</v>
      </c>
      <c r="H30" s="1">
        <v>0</v>
      </c>
    </row>
    <row r="31" spans="1:8">
      <c r="A31" s="1" t="s">
        <v>31</v>
      </c>
      <c r="B31" s="2">
        <v>0.0636679083108902</v>
      </c>
      <c r="C31" s="1">
        <v>40</v>
      </c>
      <c r="D31" s="1">
        <v>0</v>
      </c>
      <c r="E31" s="1">
        <v>40</v>
      </c>
      <c r="F31" s="1">
        <v>0</v>
      </c>
      <c r="G31" s="1">
        <v>0</v>
      </c>
      <c r="H31" s="1">
        <v>0</v>
      </c>
    </row>
    <row r="32" spans="1:8">
      <c r="A32" s="1" t="s">
        <v>32</v>
      </c>
      <c r="B32" s="2">
        <v>0.0636679083108902</v>
      </c>
      <c r="C32" s="1">
        <v>40</v>
      </c>
      <c r="D32" s="1">
        <v>0</v>
      </c>
      <c r="E32" s="1">
        <v>40</v>
      </c>
      <c r="F32" s="1">
        <v>0</v>
      </c>
      <c r="G32" s="1">
        <v>0</v>
      </c>
      <c r="H32" s="1">
        <v>0</v>
      </c>
    </row>
    <row r="33" spans="1:8">
      <c r="A33" s="1" t="s">
        <v>33</v>
      </c>
      <c r="B33" s="2">
        <v>0.0573011189699173</v>
      </c>
      <c r="C33" s="1">
        <v>36</v>
      </c>
      <c r="D33" s="1">
        <v>0</v>
      </c>
      <c r="E33" s="1">
        <v>36</v>
      </c>
      <c r="F33" s="1">
        <v>0</v>
      </c>
      <c r="G33" s="1">
        <v>0</v>
      </c>
      <c r="H33" s="1">
        <v>0</v>
      </c>
    </row>
    <row r="34" spans="1:8">
      <c r="A34" s="1" t="s">
        <v>34</v>
      </c>
      <c r="B34" s="2">
        <v>0.0573011189699173</v>
      </c>
      <c r="C34" s="1">
        <v>36</v>
      </c>
      <c r="D34" s="1">
        <v>0</v>
      </c>
      <c r="E34" s="1">
        <v>36</v>
      </c>
      <c r="F34" s="1">
        <v>0</v>
      </c>
      <c r="G34" s="1">
        <v>0</v>
      </c>
      <c r="H34" s="1">
        <v>0</v>
      </c>
    </row>
    <row r="35" spans="1:8">
      <c r="A35" s="1" t="s">
        <v>35</v>
      </c>
      <c r="B35" s="2">
        <v>0.0573011189699173</v>
      </c>
      <c r="C35" s="1">
        <v>36</v>
      </c>
      <c r="D35" s="1">
        <v>0</v>
      </c>
      <c r="E35" s="1">
        <v>36</v>
      </c>
      <c r="F35" s="1">
        <v>0</v>
      </c>
      <c r="G35" s="1">
        <v>0</v>
      </c>
      <c r="H35" s="1">
        <v>0</v>
      </c>
    </row>
    <row r="36" spans="1:8">
      <c r="A36" s="1" t="s">
        <v>36</v>
      </c>
      <c r="B36" s="2">
        <v>0.0573011189699173</v>
      </c>
      <c r="C36" s="1">
        <v>36</v>
      </c>
      <c r="D36" s="1">
        <v>0</v>
      </c>
      <c r="E36" s="1">
        <v>36</v>
      </c>
      <c r="F36" s="1">
        <v>0</v>
      </c>
      <c r="G36" s="1">
        <v>0</v>
      </c>
      <c r="H36" s="1">
        <v>0</v>
      </c>
    </row>
    <row r="37" spans="1:8">
      <c r="A37" s="1" t="s">
        <v>37</v>
      </c>
      <c r="B37" s="2">
        <v>0.0509343259036541</v>
      </c>
      <c r="C37" s="1">
        <v>32</v>
      </c>
      <c r="D37" s="1">
        <v>0</v>
      </c>
      <c r="E37" s="1">
        <v>32</v>
      </c>
      <c r="F37" s="1">
        <v>0</v>
      </c>
      <c r="G37" s="1">
        <v>0</v>
      </c>
      <c r="H37" s="1">
        <v>0</v>
      </c>
    </row>
    <row r="38" spans="1:8">
      <c r="A38" s="1" t="s">
        <v>38</v>
      </c>
      <c r="B38" s="2">
        <v>0.0509343259036541</v>
      </c>
      <c r="C38" s="1">
        <v>32</v>
      </c>
      <c r="D38" s="1">
        <v>0</v>
      </c>
      <c r="E38" s="1">
        <v>32</v>
      </c>
      <c r="F38" s="1">
        <v>0</v>
      </c>
      <c r="G38" s="1">
        <v>0</v>
      </c>
      <c r="H38" s="1">
        <v>0</v>
      </c>
    </row>
    <row r="39" spans="1:8">
      <c r="A39" s="1" t="s">
        <v>39</v>
      </c>
      <c r="B39" s="2">
        <v>0.04775093123316765</v>
      </c>
      <c r="C39" s="1">
        <v>30</v>
      </c>
      <c r="D39" s="1">
        <v>0</v>
      </c>
      <c r="E39" s="1">
        <v>30</v>
      </c>
      <c r="F39" s="1">
        <v>0</v>
      </c>
      <c r="G39" s="1">
        <v>0</v>
      </c>
      <c r="H39" s="1">
        <v>0</v>
      </c>
    </row>
    <row r="40" spans="1:8">
      <c r="A40" s="1" t="s">
        <v>40</v>
      </c>
      <c r="B40" s="2">
        <v>0.04775093123316765</v>
      </c>
      <c r="C40" s="1">
        <v>30</v>
      </c>
      <c r="D40" s="1">
        <v>0</v>
      </c>
      <c r="E40" s="1">
        <v>30</v>
      </c>
      <c r="F40" s="1">
        <v>0</v>
      </c>
      <c r="G40" s="1">
        <v>0</v>
      </c>
      <c r="H40" s="1">
        <v>0</v>
      </c>
    </row>
    <row r="41" spans="1:8">
      <c r="A41" s="1" t="s">
        <v>41</v>
      </c>
      <c r="B41" s="2">
        <v>0.04775093123316765</v>
      </c>
      <c r="C41" s="1">
        <v>30</v>
      </c>
      <c r="D41" s="1">
        <v>0</v>
      </c>
      <c r="E41" s="1">
        <v>30</v>
      </c>
      <c r="F41" s="1">
        <v>0</v>
      </c>
      <c r="G41" s="1">
        <v>0</v>
      </c>
      <c r="H41" s="1">
        <v>0</v>
      </c>
    </row>
    <row r="42" spans="1:8">
      <c r="A42" s="1" t="s">
        <v>42</v>
      </c>
      <c r="B42" s="2">
        <v>0.0445675365626812</v>
      </c>
      <c r="C42" s="1">
        <v>28</v>
      </c>
      <c r="D42" s="1">
        <v>0</v>
      </c>
      <c r="E42" s="1">
        <v>28</v>
      </c>
      <c r="F42" s="1">
        <v>0</v>
      </c>
      <c r="G42" s="1">
        <v>0</v>
      </c>
      <c r="H42" s="1">
        <v>0</v>
      </c>
    </row>
    <row r="43" spans="1:8">
      <c r="A43" s="1" t="s">
        <v>43</v>
      </c>
      <c r="B43" s="2">
        <v>0.0445675365626812</v>
      </c>
      <c r="C43" s="1">
        <v>28</v>
      </c>
      <c r="D43" s="1">
        <v>0</v>
      </c>
      <c r="E43" s="1">
        <v>28</v>
      </c>
      <c r="F43" s="1">
        <v>0</v>
      </c>
      <c r="G43" s="1">
        <v>0</v>
      </c>
      <c r="H43" s="1">
        <v>0</v>
      </c>
    </row>
    <row r="44" spans="1:8">
      <c r="A44" s="1" t="s">
        <v>44</v>
      </c>
      <c r="B44" s="2">
        <v>0.04138414189219475</v>
      </c>
      <c r="C44" s="1">
        <v>26</v>
      </c>
      <c r="D44" s="1">
        <v>0</v>
      </c>
      <c r="E44" s="1">
        <v>26</v>
      </c>
      <c r="F44" s="1">
        <v>0</v>
      </c>
      <c r="G44" s="1">
        <v>0</v>
      </c>
      <c r="H44" s="1">
        <v>0</v>
      </c>
    </row>
    <row r="45" spans="1:8">
      <c r="A45" s="1" t="s">
        <v>45</v>
      </c>
      <c r="B45" s="2">
        <v>0.04138414189219475</v>
      </c>
      <c r="C45" s="1">
        <v>26</v>
      </c>
      <c r="D45" s="1">
        <v>0</v>
      </c>
      <c r="E45" s="1">
        <v>26</v>
      </c>
      <c r="F45" s="1">
        <v>0</v>
      </c>
      <c r="G45" s="1">
        <v>0</v>
      </c>
      <c r="H45" s="1">
        <v>0</v>
      </c>
    </row>
    <row r="46" spans="1:8">
      <c r="A46" s="1" t="s">
        <v>46</v>
      </c>
      <c r="B46" s="2">
        <v>0.038200743496418</v>
      </c>
      <c r="C46" s="1">
        <v>24</v>
      </c>
      <c r="D46" s="1">
        <v>0</v>
      </c>
      <c r="E46" s="1">
        <v>24</v>
      </c>
      <c r="F46" s="1">
        <v>0</v>
      </c>
      <c r="G46" s="1">
        <v>0</v>
      </c>
      <c r="H46" s="1">
        <v>0</v>
      </c>
    </row>
    <row r="47" spans="1:8">
      <c r="A47" s="1" t="s">
        <v>47</v>
      </c>
      <c r="B47" s="2">
        <v>0.038200743496418</v>
      </c>
      <c r="C47" s="1">
        <v>24</v>
      </c>
      <c r="D47" s="1">
        <v>0</v>
      </c>
      <c r="E47" s="1">
        <v>24</v>
      </c>
      <c r="F47" s="1">
        <v>0</v>
      </c>
      <c r="G47" s="1">
        <v>0</v>
      </c>
      <c r="H47" s="1">
        <v>0</v>
      </c>
    </row>
    <row r="48" spans="1:8">
      <c r="A48" s="1" t="s">
        <v>48</v>
      </c>
      <c r="B48" s="2">
        <v>0.0318339541554451</v>
      </c>
      <c r="C48" s="1">
        <v>20</v>
      </c>
      <c r="D48" s="1">
        <v>0</v>
      </c>
      <c r="E48" s="1">
        <v>20</v>
      </c>
      <c r="F48" s="1">
        <v>0</v>
      </c>
      <c r="G48" s="1">
        <v>0</v>
      </c>
      <c r="H48" s="1">
        <v>0</v>
      </c>
    </row>
    <row r="49" spans="1:8">
      <c r="A49" s="1" t="s">
        <v>49</v>
      </c>
      <c r="B49" s="2">
        <v>0.02865055948495865</v>
      </c>
      <c r="C49" s="1">
        <v>18</v>
      </c>
      <c r="D49" s="1">
        <v>0</v>
      </c>
      <c r="E49" s="1">
        <v>18</v>
      </c>
      <c r="F49" s="1">
        <v>0</v>
      </c>
      <c r="G49" s="1">
        <v>0</v>
      </c>
      <c r="H49" s="1">
        <v>0</v>
      </c>
    </row>
    <row r="50" spans="1:8">
      <c r="A50" s="1" t="s">
        <v>50</v>
      </c>
      <c r="B50" s="2">
        <v>0.0222837682813406</v>
      </c>
      <c r="C50" s="1">
        <v>14</v>
      </c>
      <c r="D50" s="1">
        <v>0</v>
      </c>
      <c r="E50" s="1">
        <v>14</v>
      </c>
      <c r="F50" s="1">
        <v>0</v>
      </c>
      <c r="G50" s="1">
        <v>0</v>
      </c>
      <c r="H50" s="1">
        <v>0</v>
      </c>
    </row>
    <row r="51" spans="1:8">
      <c r="A51" s="1" t="s">
        <v>6</v>
      </c>
      <c r="B51" s="2">
        <v>0.019100371748209</v>
      </c>
      <c r="C51" s="1">
        <v>12</v>
      </c>
      <c r="D51" s="1">
        <v>4</v>
      </c>
      <c r="E51" s="1">
        <v>8</v>
      </c>
      <c r="F51" s="1">
        <v>0</v>
      </c>
      <c r="G51" s="1">
        <v>4</v>
      </c>
      <c r="H51" s="1">
        <v>0</v>
      </c>
    </row>
    <row r="52" spans="1:8">
      <c r="A52" s="1" t="s">
        <v>51</v>
      </c>
      <c r="B52" s="2">
        <v>0.01273358147591353</v>
      </c>
      <c r="C52" s="1">
        <v>8</v>
      </c>
      <c r="D52" s="1">
        <v>0</v>
      </c>
      <c r="E52" s="1">
        <v>8</v>
      </c>
      <c r="F52" s="1">
        <v>0</v>
      </c>
      <c r="G52" s="1">
        <v>0</v>
      </c>
      <c r="H52" s="1">
        <v>0</v>
      </c>
    </row>
    <row r="53" spans="1:8">
      <c r="A53" s="1" t="s">
        <v>52</v>
      </c>
      <c r="B53" s="2">
        <v>0.01273358147591353</v>
      </c>
      <c r="C53" s="1">
        <v>8</v>
      </c>
      <c r="D53" s="1">
        <v>0</v>
      </c>
      <c r="E53" s="1">
        <v>8</v>
      </c>
      <c r="F53" s="1">
        <v>0</v>
      </c>
      <c r="G53" s="1">
        <v>0</v>
      </c>
      <c r="H53" s="1">
        <v>0</v>
      </c>
    </row>
    <row r="54" spans="1:8">
      <c r="A54" s="1" t="s">
        <v>5</v>
      </c>
      <c r="B54" s="2">
        <v>0.006366790737956762</v>
      </c>
      <c r="C54" s="1">
        <v>4</v>
      </c>
      <c r="D54" s="1">
        <v>4</v>
      </c>
      <c r="E54" s="1">
        <v>0</v>
      </c>
      <c r="F54" s="1">
        <v>0</v>
      </c>
      <c r="G54" s="1">
        <v>4</v>
      </c>
      <c r="H54" s="1">
        <v>0</v>
      </c>
    </row>
    <row r="55" spans="1:8">
      <c r="A55" s="1" t="s">
        <v>53</v>
      </c>
      <c r="B55" s="2">
        <v>0.006366790737956762</v>
      </c>
      <c r="C55" s="1">
        <v>4</v>
      </c>
      <c r="D55" s="1">
        <v>0</v>
      </c>
      <c r="E55" s="1">
        <v>4</v>
      </c>
      <c r="F55" s="1">
        <v>0</v>
      </c>
      <c r="G55" s="1">
        <v>0</v>
      </c>
      <c r="H55" s="1">
        <v>0</v>
      </c>
    </row>
    <row r="56" spans="1:8">
      <c r="A56" s="1" t="s">
        <v>54</v>
      </c>
      <c r="B56" s="2">
        <v>0.006366790737956762</v>
      </c>
      <c r="C56" s="1">
        <v>4</v>
      </c>
      <c r="D56" s="1">
        <v>0</v>
      </c>
      <c r="E56" s="1">
        <v>4</v>
      </c>
      <c r="F56" s="1">
        <v>0</v>
      </c>
      <c r="G56" s="1">
        <v>0</v>
      </c>
      <c r="H56" s="1">
        <v>0</v>
      </c>
    </row>
    <row r="57" spans="1:8">
      <c r="A57" t="s">
        <v>56</v>
      </c>
      <c r="B57">
        <f>SUBTOTAL(109,[flash_percent])</f>
        <v>0</v>
      </c>
      <c r="C57">
        <f>SUBTOTAL(109,[flash])</f>
        <v>0</v>
      </c>
      <c r="D57">
        <f>SUBTOTAL(109,[ram])</f>
        <v>0</v>
      </c>
      <c r="E57">
        <f>SUBTOTAL(109,[Code])</f>
        <v>0</v>
      </c>
      <c r="F57">
        <f>SUBTOTAL(109,[RO_data])</f>
        <v>0</v>
      </c>
      <c r="G57">
        <f>SUBTOTAL(109,[RW_data])</f>
        <v>0</v>
      </c>
      <c r="H5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2026-03-31T09:15:47Z</dcterms:created>
  <dcterms:modified xsi:type="dcterms:W3CDTF">2026-03-31T09:15:47Z</dcterms:modified>
</cp:coreProperties>
</file>